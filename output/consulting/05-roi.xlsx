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Model" sheetId="1" state="visible" r:id="rId1"/>
    <sheet name="Sensitivity" sheetId="2" state="visible" r:id="rId2"/>
    <sheet name="Investment Pha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x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sz val="10"/>
    </font>
    <font>
      <b val="1"/>
      <color rgb="002F5496"/>
      <sz val="12"/>
    </font>
    <font>
      <b val="1"/>
      <sz val="11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5" fontId="3" fillId="0" borderId="1" pivotButton="0" quotePrefix="0" xfId="0"/>
    <xf numFmtId="165" fontId="3" fillId="3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MERIDIAN RETAIL GROUP — Omnichannel Platform ROI Hypothesis</t>
        </is>
      </c>
    </row>
    <row r="3">
      <c r="A3" s="2" t="inlineStr">
        <is>
          <t>Assumption</t>
        </is>
      </c>
      <c r="B3" s="2" t="inlineStr">
        <is>
          <t>Pessimistic</t>
        </is>
      </c>
      <c r="C3" s="2" t="inlineStr">
        <is>
          <t>Base</t>
        </is>
      </c>
      <c r="D3" s="2" t="inlineStr">
        <is>
          <t>Optimistic</t>
        </is>
      </c>
    </row>
    <row r="4">
      <c r="A4" s="3" t="inlineStr">
        <is>
          <t>Estimated annual digital GMV across 22 countries ($M)</t>
        </is>
      </c>
      <c r="B4" s="4" t="n">
        <v>2500</v>
      </c>
      <c r="C4" s="4" t="n">
        <v>4000</v>
      </c>
      <c r="D4" s="4" t="n">
        <v>6000</v>
      </c>
    </row>
    <row r="5">
      <c r="A5" s="5" t="inlineStr">
        <is>
          <t>Cross-channel revenue uplift (%)</t>
        </is>
      </c>
      <c r="B5" s="6" t="n">
        <v>0.03</v>
      </c>
      <c r="C5" s="6" t="n">
        <v>0.07000000000000001</v>
      </c>
      <c r="D5" s="6" t="n">
        <v>0.12</v>
      </c>
    </row>
    <row r="6">
      <c r="A6" s="3" t="inlineStr">
        <is>
          <t>Marketing waste reduction (%)</t>
        </is>
      </c>
      <c r="B6" s="7" t="n">
        <v>0.05</v>
      </c>
      <c r="C6" s="7" t="n">
        <v>0.12</v>
      </c>
      <c r="D6" s="7" t="n">
        <v>0.22</v>
      </c>
    </row>
    <row r="7">
      <c r="A7" s="5" t="inlineStr">
        <is>
          <t>IT ops cost reduction (%)</t>
        </is>
      </c>
      <c r="B7" s="6" t="n">
        <v>0.08</v>
      </c>
      <c r="C7" s="6" t="n">
        <v>0.15</v>
      </c>
      <c r="D7" s="6" t="n">
        <v>0.25</v>
      </c>
    </row>
    <row r="8">
      <c r="A8" s="3" t="inlineStr">
        <is>
          <t>Loyalty member CLV increase (%)</t>
        </is>
      </c>
      <c r="B8" s="7" t="n">
        <v>0.1</v>
      </c>
      <c r="C8" s="7" t="n">
        <v>0.2</v>
      </c>
      <c r="D8" s="7" t="n">
        <v>0.35</v>
      </c>
    </row>
    <row r="9">
      <c r="A9" s="5" t="inlineStr">
        <is>
          <t>Regulatory fine avoidance ($M)</t>
        </is>
      </c>
      <c r="B9" s="8" t="n">
        <v>5</v>
      </c>
      <c r="C9" s="8" t="n">
        <v>25</v>
      </c>
      <c r="D9" s="8" t="n">
        <v>100</v>
      </c>
    </row>
    <row r="10">
      <c r="A10" s="3" t="inlineStr">
        <is>
          <t>Current annual marketing spend ($M)</t>
        </is>
      </c>
      <c r="B10" s="4" t="n">
        <v>300</v>
      </c>
      <c r="C10" s="4" t="n">
        <v>500</v>
      </c>
      <c r="D10" s="4" t="n">
        <v>750</v>
      </c>
    </row>
    <row r="11">
      <c r="A11" s="5" t="inlineStr">
        <is>
          <t>Current annual IT ops spend ($M)</t>
        </is>
      </c>
      <c r="B11" s="8" t="n">
        <v>80</v>
      </c>
      <c r="C11" s="8" t="n">
        <v>120</v>
      </c>
      <c r="D11" s="8" t="n">
        <v>180</v>
      </c>
    </row>
    <row r="12">
      <c r="A12" s="3" t="inlineStr">
        <is>
          <t>Total program investment ($M)</t>
        </is>
      </c>
      <c r="B12" s="4" t="n">
        <v>42</v>
      </c>
      <c r="C12" s="4" t="n">
        <v>42</v>
      </c>
      <c r="D12" s="4" t="n">
        <v>42</v>
      </c>
    </row>
    <row r="14">
      <c r="A14" s="9" t="inlineStr">
        <is>
          <t>BENEFIT CALCULATIONS (Annual, Year 2 Steady State)</t>
        </is>
      </c>
    </row>
    <row r="15">
      <c r="A15" s="2" t="inlineStr">
        <is>
          <t>Benefit Stream</t>
        </is>
      </c>
      <c r="B15" s="2" t="inlineStr">
        <is>
          <t>Pessimistic</t>
        </is>
      </c>
      <c r="C15" s="2" t="inlineStr">
        <is>
          <t>Base</t>
        </is>
      </c>
      <c r="D15" s="2" t="inlineStr">
        <is>
          <t>Optimistic</t>
        </is>
      </c>
    </row>
    <row r="16">
      <c r="A16" s="3" t="inlineStr">
        <is>
          <t>Revenue uplift (cross-channel)</t>
        </is>
      </c>
      <c r="B16" s="4">
        <f>B4*B5</f>
        <v/>
      </c>
      <c r="C16" s="4">
        <f>C4*C5</f>
        <v/>
      </c>
      <c r="D16" s="4">
        <f>D4*D5</f>
        <v/>
      </c>
    </row>
    <row r="17">
      <c r="A17" s="5" t="inlineStr">
        <is>
          <t>Marketing waste recovery</t>
        </is>
      </c>
      <c r="B17" s="8">
        <f>B10*B6</f>
        <v/>
      </c>
      <c r="C17" s="8">
        <f>C10*C6</f>
        <v/>
      </c>
      <c r="D17" s="8">
        <f>D10*D6</f>
        <v/>
      </c>
    </row>
    <row r="18">
      <c r="A18" s="3" t="inlineStr">
        <is>
          <t>IT ops cost reduction</t>
        </is>
      </c>
      <c r="B18" s="4">
        <f>B11*B7</f>
        <v/>
      </c>
      <c r="C18" s="4">
        <f>C11*C7</f>
        <v/>
      </c>
      <c r="D18" s="4">
        <f>D11*D7</f>
        <v/>
      </c>
    </row>
    <row r="19">
      <c r="A19" s="5" t="inlineStr">
        <is>
          <t>Loyalty CLV increase</t>
        </is>
      </c>
      <c r="B19" s="8">
        <f>B4*0.4*B8</f>
        <v/>
      </c>
      <c r="C19" s="8">
        <f>C4*0.4*C8</f>
        <v/>
      </c>
      <c r="D19" s="8">
        <f>D4*0.4*D8</f>
        <v/>
      </c>
    </row>
    <row r="20">
      <c r="A20" s="3" t="inlineStr">
        <is>
          <t>Regulatory fine avoidance</t>
        </is>
      </c>
      <c r="B20" s="4">
        <f>B9</f>
        <v/>
      </c>
      <c r="C20" s="4">
        <f>C9</f>
        <v/>
      </c>
      <c r="D20" s="4">
        <f>D9</f>
        <v/>
      </c>
    </row>
    <row r="21">
      <c r="A21" s="10" t="inlineStr">
        <is>
          <t>TOTAL ANNUAL BENEFIT (Year 2+)</t>
        </is>
      </c>
      <c r="B21" s="11">
        <f>SUM(B16:B20)</f>
        <v/>
      </c>
      <c r="C21" s="11">
        <f>SUM(C16:C20)</f>
        <v/>
      </c>
      <c r="D21" s="11">
        <f>SUM(D16:D20)</f>
        <v/>
      </c>
    </row>
    <row r="23">
      <c r="A23" s="9" t="inlineStr">
        <is>
          <t>5-YEAR ROI SUMMARY</t>
        </is>
      </c>
    </row>
    <row r="24">
      <c r="A24" s="2" t="inlineStr">
        <is>
          <t>Metric</t>
        </is>
      </c>
      <c r="B24" s="2" t="inlineStr">
        <is>
          <t>Pessimistic</t>
        </is>
      </c>
      <c r="C24" s="2" t="inlineStr">
        <is>
          <t>Base</t>
        </is>
      </c>
      <c r="D24" s="2" t="inlineStr">
        <is>
          <t>Optimistic</t>
        </is>
      </c>
    </row>
    <row r="25">
      <c r="A25" s="3" t="inlineStr">
        <is>
          <t>Year 1 (ramp-up): Benefit ($M)</t>
        </is>
      </c>
      <c r="B25" s="4">
        <f>B21*0.3</f>
        <v/>
      </c>
      <c r="C25" s="4">
        <f>C21*0.3</f>
        <v/>
      </c>
      <c r="D25" s="4">
        <f>D21*0.3</f>
        <v/>
      </c>
    </row>
    <row r="26">
      <c r="A26" s="5" t="inlineStr">
        <is>
          <t>Year 2: Benefit ($M)</t>
        </is>
      </c>
      <c r="B26" s="8">
        <f>B21*0.8</f>
        <v/>
      </c>
      <c r="C26" s="8">
        <f>C21*0.8</f>
        <v/>
      </c>
      <c r="D26" s="8">
        <f>D21*0.8</f>
        <v/>
      </c>
    </row>
    <row r="27">
      <c r="A27" s="3" t="inlineStr">
        <is>
          <t>Year 3+: Benefit ($M)</t>
        </is>
      </c>
      <c r="B27" s="4">
        <f>B21</f>
        <v/>
      </c>
      <c r="C27" s="4">
        <f>C21</f>
        <v/>
      </c>
      <c r="D27" s="4">
        <f>D21</f>
        <v/>
      </c>
    </row>
    <row r="28">
      <c r="A28" s="5" t="inlineStr">
        <is>
          <t>Total 5-Year Benefit ($M)</t>
        </is>
      </c>
      <c r="B28" s="8">
        <f>B25*0.3+B26*0.8+B27*3</f>
        <v/>
      </c>
      <c r="C28" s="8">
        <f>C25*0.3+C26*0.8+C27*3</f>
        <v/>
      </c>
      <c r="D28" s="8">
        <f>D25*0.3+D26*0.8+D27*3</f>
        <v/>
      </c>
    </row>
    <row r="29">
      <c r="A29" s="12" t="inlineStr">
        <is>
          <t>Net 5-Year Benefit (After $42M Investment)</t>
        </is>
      </c>
      <c r="B29" s="13">
        <f>B28-42.0</f>
        <v/>
      </c>
      <c r="C29" s="13">
        <f>C28-42</f>
        <v/>
      </c>
      <c r="D29" s="13">
        <f>D28-42</f>
        <v/>
      </c>
    </row>
    <row r="30">
      <c r="A30" s="10" t="inlineStr">
        <is>
          <t>ROI Ratio (Total Benefit / Investment)</t>
        </is>
      </c>
      <c r="B30" s="14">
        <f>B28/42</f>
        <v/>
      </c>
      <c r="C30" s="14">
        <f>C28/42</f>
        <v/>
      </c>
      <c r="D30" s="14">
        <f>D28/42</f>
        <v/>
      </c>
    </row>
    <row r="31">
      <c r="A31" s="10" t="inlineStr">
        <is>
          <t>Payback Period (Years)</t>
        </is>
      </c>
      <c r="B31" s="15">
        <f>42/(B21*0.8)</f>
        <v/>
      </c>
      <c r="C31" s="15">
        <f>42/(C21*0.8)</f>
        <v/>
      </c>
      <c r="D31" s="15">
        <f>42/(D21*0.8)</f>
        <v/>
      </c>
    </row>
  </sheetData>
  <mergeCells count="3">
    <mergeCell ref="A1:D1"/>
    <mergeCell ref="A23:D2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9" t="inlineStr">
        <is>
          <t>KEY VARIABLE SENSITIVITY — Base Scenario</t>
        </is>
      </c>
    </row>
    <row r="3">
      <c r="A3" s="2" t="inlineStr">
        <is>
          <t>Variable</t>
        </is>
      </c>
      <c r="B3" s="2" t="inlineStr">
        <is>
          <t>-25% Change in Variable</t>
        </is>
      </c>
      <c r="C3" s="2" t="inlineStr">
        <is>
          <t>+25% Change in Variable</t>
        </is>
      </c>
    </row>
    <row r="4">
      <c r="A4" s="3" t="inlineStr">
        <is>
          <t>Cross-channel revenue uplift %</t>
        </is>
      </c>
      <c r="B4" s="4">
        <f>(C4*C5*0.75+'ROI Model'!C21-C4*C5)</f>
        <v/>
      </c>
      <c r="C4" s="4">
        <f>(C4*C5*1.25+'ROI Model'!C21-C4*C5)</f>
        <v/>
      </c>
    </row>
    <row r="5">
      <c r="A5" s="5" t="inlineStr">
        <is>
          <t>Marketing waste recovery %</t>
        </is>
      </c>
      <c r="B5" s="8">
        <f>(C10*C6*0.75+'ROI Model'!C21-C10*C6)</f>
        <v/>
      </c>
      <c r="C5" s="8">
        <f>(C10*C6*1.25+'ROI Model'!C21-C10*C6)</f>
        <v/>
      </c>
    </row>
    <row r="6">
      <c r="A6" s="3" t="inlineStr">
        <is>
          <t>IT ops cost reduction %</t>
        </is>
      </c>
      <c r="B6" s="4">
        <f>(C11*C7*0.75+'ROI Model'!C21-C11*C7)</f>
        <v/>
      </c>
      <c r="C6" s="4">
        <f>(C11*C7*1.25+'ROI Model'!C21-C11*C7)</f>
        <v/>
      </c>
    </row>
    <row r="7">
      <c r="A7" s="5" t="inlineStr">
        <is>
          <t>Loyalty CLV increase %</t>
        </is>
      </c>
      <c r="B7" s="8">
        <f>(C4*0.4*C8*0.75+'ROI Model'!C21-C4*0.4*C8)</f>
        <v/>
      </c>
      <c r="C7" s="8">
        <f>(C4*0.4*C8*1.25+'ROI Model'!C21-C4*0.4*C8)</f>
        <v/>
      </c>
    </row>
    <row r="8">
      <c r="A8" s="3" t="inlineStr">
        <is>
          <t>Total program investment</t>
        </is>
      </c>
      <c r="B8" s="4">
        <f>('ROI Model'!C21-42*0.75)</f>
        <v/>
      </c>
      <c r="C8" s="4">
        <f>('ROI Model'!C21-42*1.25)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0" customWidth="1" min="3" max="3"/>
    <col width="18" customWidth="1" min="4" max="4"/>
    <col width="15" customWidth="1" min="5" max="5"/>
  </cols>
  <sheetData>
    <row r="1">
      <c r="A1" s="9" t="inlineStr">
        <is>
          <t>PROGRAM INVESTMENT PHASING ($42M)</t>
        </is>
      </c>
    </row>
    <row r="3">
      <c r="A3" s="2" t="inlineStr">
        <is>
          <t>Phase</t>
        </is>
      </c>
      <c r="B3" s="2" t="inlineStr">
        <is>
          <t>Duration</t>
        </is>
      </c>
      <c r="C3" s="2" t="inlineStr">
        <is>
          <t>Scope</t>
        </is>
      </c>
      <c r="D3" s="2" t="inlineStr">
        <is>
          <t>Budget ($M)</t>
        </is>
      </c>
      <c r="E3" s="2" t="inlineStr">
        <is>
          <t>% of Total</t>
        </is>
      </c>
    </row>
    <row r="4">
      <c r="A4" s="3" t="inlineStr">
        <is>
          <t>Phase 0: Foundation &amp; Pilot</t>
        </is>
      </c>
      <c r="B4" s="3" t="inlineStr">
        <is>
          <t>Months 1–3</t>
        </is>
      </c>
      <c r="C4" s="3" t="inlineStr">
        <is>
          <t>CMP + CIAM + Data audit + POC country</t>
        </is>
      </c>
      <c r="D4" s="4" t="n">
        <v>6</v>
      </c>
      <c r="E4" s="7" t="n">
        <v>0.143</v>
      </c>
    </row>
    <row r="5">
      <c r="A5" s="5" t="inlineStr">
        <is>
          <t>Phase 1: Core Services</t>
        </is>
      </c>
      <c r="B5" s="5" t="inlineStr">
        <is>
          <t>Months 4–9</t>
        </is>
      </c>
      <c r="C5" s="5" t="inlineStr">
        <is>
          <t>Unified profile + Loyalty engine + Cart service + OAuth 2.0</t>
        </is>
      </c>
      <c r="D5" s="8" t="n">
        <v>12</v>
      </c>
      <c r="E5" s="6" t="n">
        <v>0.286</v>
      </c>
    </row>
    <row r="6">
      <c r="A6" s="3" t="inlineStr">
        <is>
          <t>Phase 2: Country Rollouts (8–10 countries)</t>
        </is>
      </c>
      <c r="B6" s="3" t="inlineStr">
        <is>
          <t>Months 7–14</t>
        </is>
      </c>
      <c r="C6" s="3" t="inlineStr">
        <is>
          <t>Headless storefronts + CDP + Personalization (rules)</t>
        </is>
      </c>
      <c r="D6" s="4" t="n">
        <v>14</v>
      </c>
      <c r="E6" s="7" t="n">
        <v>0.333</v>
      </c>
    </row>
    <row r="7">
      <c r="A7" s="5" t="inlineStr">
        <is>
          <t>Phase 3: Scale (remaining 12–14 countries)</t>
        </is>
      </c>
      <c r="B7" s="5" t="inlineStr">
        <is>
          <t>Months 12–18</t>
        </is>
      </c>
      <c r="C7" s="5" t="inlineStr">
        <is>
          <t>Full country migration + POS integration (top 200 stores)</t>
        </is>
      </c>
      <c r="D7" s="8" t="n">
        <v>6</v>
      </c>
      <c r="E7" s="6" t="n">
        <v>0.143</v>
      </c>
    </row>
    <row r="8">
      <c r="A8" s="3" t="inlineStr">
        <is>
          <t>Contingency Reserve</t>
        </is>
      </c>
      <c r="B8" s="3" t="inlineStr">
        <is>
          <t>Ongoing</t>
        </is>
      </c>
      <c r="C8" s="3" t="inlineStr">
        <is>
          <t>Unforeseen integration complexity / scope creep</t>
        </is>
      </c>
      <c r="D8" s="4" t="n">
        <v>4</v>
      </c>
      <c r="E8" s="7" t="n">
        <v>0.095</v>
      </c>
    </row>
    <row r="9">
      <c r="A9" s="10" t="inlineStr">
        <is>
          <t>TOTAL</t>
        </is>
      </c>
      <c r="B9" s="10" t="n"/>
      <c r="C9" s="10" t="n"/>
      <c r="D9" s="11">
        <f>SUM(D4:D8)</f>
        <v/>
      </c>
      <c r="E9" s="16">
        <f>SUM(E4:E8)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2026-06-18T06:20:01Z</dcterms:created>
  <dcterms:modified xsi:type="dcterms:W3CDTF">2026-06-18T06:20:01Z</dcterms:modified>
</cp:coreProperties>
</file>